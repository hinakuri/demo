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kuriwaki\勉強資料\"/>
    </mc:Choice>
  </mc:AlternateContent>
  <xr:revisionPtr revIDLastSave="0" documentId="13_ncr:1_{82123602-4F87-4421-87BF-330F63092EB3}" xr6:coauthVersionLast="47" xr6:coauthVersionMax="47" xr10:uidLastSave="{00000000-0000-0000-0000-000000000000}"/>
  <bookViews>
    <workbookView xWindow="28680" yWindow="-120" windowWidth="29040" windowHeight="15720" xr2:uid="{0D81EB8D-A862-41FD-A79B-0D35B8C8DEFD}"/>
  </bookViews>
  <sheets>
    <sheet name="課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1" l="1"/>
  <c r="F97" i="1" l="1"/>
  <c r="F93" i="1"/>
  <c r="F89" i="1"/>
  <c r="F85" i="1"/>
  <c r="F81" i="1"/>
  <c r="F77" i="1"/>
  <c r="F73" i="1"/>
  <c r="F69" i="1"/>
  <c r="F59" i="1"/>
  <c r="F55" i="1"/>
  <c r="F51" i="1"/>
  <c r="F64" i="1"/>
  <c r="F47" i="1"/>
  <c r="F39" i="1"/>
  <c r="F35" i="1"/>
  <c r="F27" i="1"/>
  <c r="F31" i="1"/>
  <c r="F20" i="1"/>
  <c r="F17" i="1"/>
  <c r="F14" i="1"/>
  <c r="F11" i="1"/>
  <c r="F8" i="1"/>
  <c r="T3" i="1" a="1"/>
  <c r="T3" i="1" s="1"/>
  <c r="T4" i="1" s="1"/>
  <c r="F23" i="1" a="1"/>
  <c r="F23" i="1" l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<sst xmlns="http://schemas.openxmlformats.org/spreadsheetml/2006/main" count="146" uniqueCount="75">
  <si>
    <t>■</t>
    <phoneticPr fontId="2"/>
  </si>
  <si>
    <t>シート名を取得</t>
    <rPh sb="3" eb="4">
      <t>メイ</t>
    </rPh>
    <rPh sb="5" eb="7">
      <t>シュトク</t>
    </rPh>
    <phoneticPr fontId="2"/>
  </si>
  <si>
    <t>A.</t>
    <phoneticPr fontId="2"/>
  </si>
  <si>
    <t>Q01.</t>
    <phoneticPr fontId="2"/>
  </si>
  <si>
    <t>Q02.</t>
  </si>
  <si>
    <t>正答</t>
    <rPh sb="0" eb="2">
      <t>セイトウ</t>
    </rPh>
    <phoneticPr fontId="2"/>
  </si>
  <si>
    <t>Q03.</t>
  </si>
  <si>
    <t>Q04.</t>
  </si>
  <si>
    <t>行を取得</t>
    <rPh sb="0" eb="1">
      <t>ギョウ</t>
    </rPh>
    <rPh sb="2" eb="4">
      <t>シュトク</t>
    </rPh>
    <phoneticPr fontId="2"/>
  </si>
  <si>
    <t>列を取得</t>
    <rPh sb="0" eb="1">
      <t>レツ</t>
    </rPh>
    <rPh sb="2" eb="4">
      <t>シュトク</t>
    </rPh>
    <phoneticPr fontId="2"/>
  </si>
  <si>
    <t>課題</t>
    <rPh sb="0" eb="2">
      <t>カダイ</t>
    </rPh>
    <phoneticPr fontId="2"/>
  </si>
  <si>
    <t>F</t>
    <phoneticPr fontId="2"/>
  </si>
  <si>
    <t>セル位置を絶対値で取得</t>
    <rPh sb="2" eb="4">
      <t>イチ</t>
    </rPh>
    <rPh sb="5" eb="8">
      <t>ゼッタイチ</t>
    </rPh>
    <rPh sb="9" eb="11">
      <t>シュトク</t>
    </rPh>
    <phoneticPr fontId="2"/>
  </si>
  <si>
    <t>$F$14</t>
  </si>
  <si>
    <t>Q05.</t>
  </si>
  <si>
    <t>セル位置を相対値で取得</t>
    <rPh sb="2" eb="4">
      <t>イチ</t>
    </rPh>
    <rPh sb="5" eb="7">
      <t>ソウタイ</t>
    </rPh>
    <rPh sb="7" eb="8">
      <t>チ</t>
    </rPh>
    <rPh sb="9" eb="11">
      <t>シュトク</t>
    </rPh>
    <phoneticPr fontId="2"/>
  </si>
  <si>
    <t>F17</t>
    <phoneticPr fontId="2"/>
  </si>
  <si>
    <t>Q06.</t>
  </si>
  <si>
    <t>列をアルファベットで取得</t>
    <rPh sb="0" eb="1">
      <t>レツ</t>
    </rPh>
    <rPh sb="10" eb="12">
      <t>シュトク</t>
    </rPh>
    <phoneticPr fontId="2"/>
  </si>
  <si>
    <t>Q07.</t>
  </si>
  <si>
    <t>セル位置C2の値を取得</t>
    <rPh sb="2" eb="4">
      <t>イチ</t>
    </rPh>
    <rPh sb="7" eb="8">
      <t>アタイ</t>
    </rPh>
    <rPh sb="9" eb="11">
      <t>シュトク</t>
    </rPh>
    <phoneticPr fontId="2"/>
  </si>
  <si>
    <t>Q08.</t>
  </si>
  <si>
    <t>aaaa,bbb</t>
    <phoneticPr fontId="2"/>
  </si>
  <si>
    <t>Q09.</t>
  </si>
  <si>
    <t>aaaa_bbb</t>
  </si>
  <si>
    <t>Q10.</t>
  </si>
  <si>
    <t>下記文字列のカンマ(,)位置を取得※左から1始まりで数える</t>
    <rPh sb="0" eb="2">
      <t>カキ</t>
    </rPh>
    <rPh sb="2" eb="5">
      <t>モジレツ</t>
    </rPh>
    <rPh sb="12" eb="14">
      <t>イチ</t>
    </rPh>
    <rPh sb="15" eb="17">
      <t>シュトク</t>
    </rPh>
    <rPh sb="18" eb="19">
      <t>ヒダリ</t>
    </rPh>
    <rPh sb="22" eb="23">
      <t>ハジ</t>
    </rPh>
    <rPh sb="26" eb="27">
      <t>カゾ</t>
    </rPh>
    <phoneticPr fontId="2"/>
  </si>
  <si>
    <t>下記文字列のカンマ(,)をアンダースコア(_)に置換</t>
    <rPh sb="0" eb="2">
      <t>カキ</t>
    </rPh>
    <rPh sb="2" eb="5">
      <t>モジレツ</t>
    </rPh>
    <rPh sb="24" eb="26">
      <t>チカン</t>
    </rPh>
    <phoneticPr fontId="2"/>
  </si>
  <si>
    <t>下記文字列の先頭4文字を取得</t>
    <rPh sb="0" eb="2">
      <t>カキ</t>
    </rPh>
    <rPh sb="2" eb="5">
      <t>モジレツ</t>
    </rPh>
    <rPh sb="6" eb="8">
      <t>セントウ</t>
    </rPh>
    <rPh sb="9" eb="11">
      <t>モジ</t>
    </rPh>
    <rPh sb="12" eb="14">
      <t>シュトク</t>
    </rPh>
    <phoneticPr fontId="2"/>
  </si>
  <si>
    <t>aaaa</t>
    <phoneticPr fontId="2"/>
  </si>
  <si>
    <t>Q11.</t>
  </si>
  <si>
    <t>下記文字列の末尾3文字を取得</t>
    <rPh sb="0" eb="2">
      <t>カキ</t>
    </rPh>
    <rPh sb="2" eb="5">
      <t>モジレツ</t>
    </rPh>
    <rPh sb="6" eb="8">
      <t>マツビ</t>
    </rPh>
    <rPh sb="9" eb="11">
      <t>モジ</t>
    </rPh>
    <rPh sb="12" eb="14">
      <t>シュトク</t>
    </rPh>
    <phoneticPr fontId="2"/>
  </si>
  <si>
    <t>bbb</t>
    <phoneticPr fontId="2"/>
  </si>
  <si>
    <t>Q12.</t>
  </si>
  <si>
    <t>下記文字列のカンマ(,)より前の文字列を取得</t>
    <rPh sb="0" eb="2">
      <t>カキ</t>
    </rPh>
    <rPh sb="2" eb="5">
      <t>モジレツ</t>
    </rPh>
    <rPh sb="14" eb="15">
      <t>マエ</t>
    </rPh>
    <rPh sb="16" eb="18">
      <t>モジ</t>
    </rPh>
    <rPh sb="18" eb="19">
      <t>レツ</t>
    </rPh>
    <rPh sb="20" eb="22">
      <t>シュトク</t>
    </rPh>
    <phoneticPr fontId="2"/>
  </si>
  <si>
    <t>Q13.</t>
  </si>
  <si>
    <t>下記文字列のカンマ(,)より後ろの文字列を取得</t>
    <rPh sb="0" eb="2">
      <t>カキ</t>
    </rPh>
    <rPh sb="2" eb="5">
      <t>モジレツ</t>
    </rPh>
    <rPh sb="14" eb="15">
      <t>ウシ</t>
    </rPh>
    <rPh sb="17" eb="19">
      <t>モジ</t>
    </rPh>
    <rPh sb="19" eb="20">
      <t>レツ</t>
    </rPh>
    <rPh sb="21" eb="23">
      <t>シュトク</t>
    </rPh>
    <phoneticPr fontId="2"/>
  </si>
  <si>
    <t>下記文字列の文字数を取得</t>
    <rPh sb="0" eb="2">
      <t>カキ</t>
    </rPh>
    <rPh sb="2" eb="5">
      <t>モジレツ</t>
    </rPh>
    <rPh sb="6" eb="9">
      <t>モジスウ</t>
    </rPh>
    <rPh sb="10" eb="12">
      <t>シュトク</t>
    </rPh>
    <phoneticPr fontId="2"/>
  </si>
  <si>
    <t>ｘｘｘｘ，ｙｙｙ</t>
    <phoneticPr fontId="2"/>
  </si>
  <si>
    <t>下記文字列のバイト数を取得</t>
    <rPh sb="0" eb="2">
      <t>カキ</t>
    </rPh>
    <rPh sb="2" eb="5">
      <t>モジレツ</t>
    </rPh>
    <rPh sb="9" eb="10">
      <t>スウ</t>
    </rPh>
    <rPh sb="11" eb="13">
      <t>シュトク</t>
    </rPh>
    <phoneticPr fontId="2"/>
  </si>
  <si>
    <t>Q14.</t>
  </si>
  <si>
    <t>Q15.</t>
  </si>
  <si>
    <t>下記文字列の5文字目を取得</t>
    <rPh sb="0" eb="2">
      <t>カキ</t>
    </rPh>
    <rPh sb="2" eb="5">
      <t>モジレツ</t>
    </rPh>
    <rPh sb="7" eb="10">
      <t>モジメ</t>
    </rPh>
    <rPh sb="11" eb="13">
      <t>シュトク</t>
    </rPh>
    <phoneticPr fontId="2"/>
  </si>
  <si>
    <t>,</t>
    <phoneticPr fontId="2"/>
  </si>
  <si>
    <t>Q16.</t>
  </si>
  <si>
    <t>Excel関数_初級編</t>
    <rPh sb="5" eb="7">
      <t>カンスウ</t>
    </rPh>
    <rPh sb="8" eb="10">
      <t>ショキュウ</t>
    </rPh>
    <rPh sb="10" eb="11">
      <t>ヘン</t>
    </rPh>
    <phoneticPr fontId="2"/>
  </si>
  <si>
    <t>Q17.</t>
  </si>
  <si>
    <t>下記文字列を結合</t>
    <rPh sb="0" eb="2">
      <t>カキ</t>
    </rPh>
    <rPh sb="2" eb="5">
      <t>モジレツ</t>
    </rPh>
    <rPh sb="6" eb="8">
      <t>ケツゴウ</t>
    </rPh>
    <phoneticPr fontId="2"/>
  </si>
  <si>
    <t>aaaabbb</t>
    <phoneticPr fontId="2"/>
  </si>
  <si>
    <t>Q18.</t>
  </si>
  <si>
    <t>下記文字列を区切り文字カンマ(,)で結合</t>
    <rPh sb="0" eb="2">
      <t>カキ</t>
    </rPh>
    <rPh sb="2" eb="5">
      <t>モジレツ</t>
    </rPh>
    <rPh sb="6" eb="8">
      <t>クギ</t>
    </rPh>
    <rPh sb="9" eb="11">
      <t>モジ</t>
    </rPh>
    <rPh sb="18" eb="20">
      <t>ケツゴウ</t>
    </rPh>
    <phoneticPr fontId="2"/>
  </si>
  <si>
    <t>Q19.</t>
  </si>
  <si>
    <t>下記数値を5桁前0埋め</t>
    <rPh sb="0" eb="2">
      <t>カキ</t>
    </rPh>
    <rPh sb="2" eb="4">
      <t>スウチ</t>
    </rPh>
    <rPh sb="6" eb="7">
      <t>ケタ</t>
    </rPh>
    <rPh sb="7" eb="8">
      <t>マエ</t>
    </rPh>
    <rPh sb="9" eb="10">
      <t>ウ</t>
    </rPh>
    <phoneticPr fontId="2"/>
  </si>
  <si>
    <t>00001</t>
    <phoneticPr fontId="2"/>
  </si>
  <si>
    <t>Q20.</t>
  </si>
  <si>
    <t>下記日付の曜日を取得</t>
    <rPh sb="0" eb="2">
      <t>カキ</t>
    </rPh>
    <rPh sb="2" eb="4">
      <t>ヒヅケ</t>
    </rPh>
    <rPh sb="5" eb="7">
      <t>ヨウビ</t>
    </rPh>
    <rPh sb="8" eb="10">
      <t>シュトク</t>
    </rPh>
    <phoneticPr fontId="2"/>
  </si>
  <si>
    <t>2024/10/17</t>
    <phoneticPr fontId="2"/>
  </si>
  <si>
    <t>下記日付の西暦を取得</t>
    <rPh sb="0" eb="2">
      <t>カキ</t>
    </rPh>
    <rPh sb="2" eb="4">
      <t>ヒヅケ</t>
    </rPh>
    <rPh sb="5" eb="7">
      <t>セイレキ</t>
    </rPh>
    <rPh sb="8" eb="10">
      <t>シュトク</t>
    </rPh>
    <phoneticPr fontId="2"/>
  </si>
  <si>
    <t>Q21.</t>
  </si>
  <si>
    <t>下記日付の月を取得</t>
    <rPh sb="0" eb="2">
      <t>カキ</t>
    </rPh>
    <rPh sb="2" eb="4">
      <t>ヒヅケ</t>
    </rPh>
    <rPh sb="5" eb="6">
      <t>ツキ</t>
    </rPh>
    <rPh sb="7" eb="9">
      <t>シュトク</t>
    </rPh>
    <phoneticPr fontId="2"/>
  </si>
  <si>
    <t>Q22.</t>
  </si>
  <si>
    <t>下記日付の日を取得</t>
    <rPh sb="0" eb="2">
      <t>カキ</t>
    </rPh>
    <rPh sb="2" eb="4">
      <t>ヒヅケ</t>
    </rPh>
    <rPh sb="5" eb="6">
      <t>ヒ</t>
    </rPh>
    <rPh sb="7" eb="9">
      <t>シュトク</t>
    </rPh>
    <phoneticPr fontId="2"/>
  </si>
  <si>
    <t>Q23.</t>
  </si>
  <si>
    <t>木</t>
  </si>
  <si>
    <t>Q24.</t>
  </si>
  <si>
    <t>下記日付の末日を取得</t>
    <rPh sb="0" eb="2">
      <t>カキ</t>
    </rPh>
    <rPh sb="2" eb="4">
      <t>ヒヅケ</t>
    </rPh>
    <rPh sb="5" eb="7">
      <t>マツジツ</t>
    </rPh>
    <rPh sb="8" eb="10">
      <t>シュトク</t>
    </rPh>
    <phoneticPr fontId="2"/>
  </si>
  <si>
    <t>2024/10/31</t>
    <phoneticPr fontId="2"/>
  </si>
  <si>
    <t>Q25.</t>
  </si>
  <si>
    <t>下記日付のYYYY/MM/DD形式に変換</t>
    <rPh sb="0" eb="2">
      <t>カキ</t>
    </rPh>
    <rPh sb="2" eb="4">
      <t>ヒヅケ</t>
    </rPh>
    <rPh sb="15" eb="17">
      <t>ケイシキ</t>
    </rPh>
    <rPh sb="18" eb="20">
      <t>ヘンカン</t>
    </rPh>
    <phoneticPr fontId="2"/>
  </si>
  <si>
    <t>2024/1/1</t>
    <phoneticPr fontId="2"/>
  </si>
  <si>
    <t>2024/01/01</t>
    <phoneticPr fontId="2"/>
  </si>
  <si>
    <t>合計</t>
  </si>
  <si>
    <t>平均</t>
    <phoneticPr fontId="2"/>
  </si>
  <si>
    <t>累計</t>
    <phoneticPr fontId="2"/>
  </si>
  <si>
    <t>個数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</si>
</sst>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14" fontId="1" fillId="0" borderId="0" xfId="0" quotePrefix="1" applyNumberFormat="1" applyFont="1">
      <alignment vertical="center"/>
    </xf>
    <xf numFmtId="14" fontId="1" fillId="2" borderId="1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9112-7B4A-4B84-BAB1-AC3588FB2896}">
  <dimension ref="B2:T98"/>
  <sheetViews>
    <sheetView tabSelected="1" workbookViewId="0">
      <selection activeCell="M15" sqref="M15"/>
    </sheetView>
  </sheetViews>
  <sheetFormatPr defaultColWidth="2.69921875" defaultRowHeight="17.5" x14ac:dyDescent="0.45"/>
  <cols>
    <col min="1" max="2" width="2.69921875" style="1"/>
    <col min="3" max="3" width="2.69921875" style="1" customWidth="1"/>
    <col min="4" max="4" width="6.8984375" style="1" bestFit="1" customWidth="1"/>
    <col min="5" max="5" width="3.69921875" style="1" customWidth="1"/>
    <col min="6" max="6" width="20.3984375" style="1" bestFit="1" customWidth="1"/>
    <col min="7" max="16" width="2.69921875" style="1"/>
    <col min="17" max="17" width="6" style="6" bestFit="1" customWidth="1"/>
    <col min="18" max="18" width="20.3984375" style="5" bestFit="1" customWidth="1"/>
    <col min="19" max="19" width="2.69921875" style="1"/>
    <col min="20" max="20" width="11" style="1" bestFit="1" customWidth="1"/>
    <col min="21" max="16384" width="2.69921875" style="1"/>
  </cols>
  <sheetData>
    <row r="2" spans="2:20" x14ac:dyDescent="0.45">
      <c r="B2" s="1" t="s">
        <v>0</v>
      </c>
      <c r="C2" s="1" t="s">
        <v>45</v>
      </c>
    </row>
    <row r="3" spans="2:20" x14ac:dyDescent="0.45">
      <c r="T3" s="1" t="str" cm="1">
        <f t="array" aca="1" ref="T3" ca="1">CELL("filename",S3)</f>
        <v>C:\kuriwaki\勉強資料\[Excel関数_課題.xlsx]課題</v>
      </c>
    </row>
    <row r="4" spans="2:20" x14ac:dyDescent="0.45">
      <c r="D4" s="2" t="s">
        <v>3</v>
      </c>
      <c r="E4" s="1" t="s">
        <v>1</v>
      </c>
      <c r="T4" s="1">
        <f ca="1">FIND("]",T3)</f>
        <v>34</v>
      </c>
    </row>
    <row r="5" spans="2:20" ht="18" thickBot="1" x14ac:dyDescent="0.5">
      <c r="E5" s="3" t="s">
        <v>2</v>
      </c>
      <c r="F5" s="4" t="str">
        <f ca="1">MID(T3,T4+1,2)</f>
        <v>課題</v>
      </c>
      <c r="Q5" s="7" t="s">
        <v>5</v>
      </c>
      <c r="R5" s="5" t="s">
        <v>10</v>
      </c>
    </row>
    <row r="6" spans="2:20" ht="18" thickTop="1" x14ac:dyDescent="0.45"/>
    <row r="7" spans="2:20" x14ac:dyDescent="0.45">
      <c r="D7" s="2" t="s">
        <v>4</v>
      </c>
      <c r="E7" s="1" t="s">
        <v>8</v>
      </c>
    </row>
    <row r="8" spans="2:20" ht="18" thickBot="1" x14ac:dyDescent="0.5">
      <c r="E8" s="3" t="s">
        <v>2</v>
      </c>
      <c r="F8" s="4">
        <f>ROW()</f>
        <v>8</v>
      </c>
      <c r="Q8" s="7" t="s">
        <v>5</v>
      </c>
      <c r="R8" s="5">
        <v>8</v>
      </c>
    </row>
    <row r="9" spans="2:20" ht="18" thickTop="1" x14ac:dyDescent="0.45"/>
    <row r="10" spans="2:20" x14ac:dyDescent="0.45">
      <c r="D10" s="2" t="s">
        <v>6</v>
      </c>
      <c r="E10" s="1" t="s">
        <v>9</v>
      </c>
    </row>
    <row r="11" spans="2:20" ht="18" thickBot="1" x14ac:dyDescent="0.5">
      <c r="E11" s="3" t="s">
        <v>2</v>
      </c>
      <c r="F11" s="4">
        <f>COLUMN()</f>
        <v>6</v>
      </c>
      <c r="Q11" s="7" t="s">
        <v>5</v>
      </c>
      <c r="R11" s="5">
        <v>6</v>
      </c>
    </row>
    <row r="12" spans="2:20" ht="18" thickTop="1" x14ac:dyDescent="0.45"/>
    <row r="13" spans="2:20" x14ac:dyDescent="0.45">
      <c r="D13" s="2" t="s">
        <v>7</v>
      </c>
      <c r="E13" s="1" t="s">
        <v>12</v>
      </c>
    </row>
    <row r="14" spans="2:20" ht="18" thickBot="1" x14ac:dyDescent="0.5">
      <c r="E14" s="3" t="s">
        <v>2</v>
      </c>
      <c r="F14" s="4" t="str">
        <f>ADDRESS(ROW(),COLUMN(),1)</f>
        <v>$F$14</v>
      </c>
      <c r="Q14" s="7" t="s">
        <v>5</v>
      </c>
      <c r="R14" s="5" t="s">
        <v>13</v>
      </c>
    </row>
    <row r="15" spans="2:20" ht="18" thickTop="1" x14ac:dyDescent="0.45"/>
    <row r="16" spans="2:20" x14ac:dyDescent="0.45">
      <c r="D16" s="2" t="s">
        <v>14</v>
      </c>
      <c r="E16" s="1" t="s">
        <v>15</v>
      </c>
    </row>
    <row r="17" spans="4:18" ht="18" thickBot="1" x14ac:dyDescent="0.5">
      <c r="E17" s="3" t="s">
        <v>2</v>
      </c>
      <c r="F17" s="4" t="str">
        <f>ADDRESS(ROW(),COLUMN(),4)</f>
        <v>F17</v>
      </c>
      <c r="Q17" s="7" t="s">
        <v>5</v>
      </c>
      <c r="R17" s="5" t="s">
        <v>16</v>
      </c>
    </row>
    <row r="18" spans="4:18" ht="18" thickTop="1" x14ac:dyDescent="0.45"/>
    <row r="19" spans="4:18" x14ac:dyDescent="0.45">
      <c r="D19" s="2" t="s">
        <v>17</v>
      </c>
      <c r="E19" s="1" t="s">
        <v>18</v>
      </c>
    </row>
    <row r="20" spans="4:18" ht="18" thickBot="1" x14ac:dyDescent="0.5">
      <c r="E20" s="3" t="s">
        <v>2</v>
      </c>
      <c r="F20" s="4" t="str">
        <f>SUBSTITUTE(ADDRESS(ROW(),COLUMN(),4),ROW(),"")</f>
        <v>F</v>
      </c>
      <c r="Q20" s="7" t="s">
        <v>5</v>
      </c>
      <c r="R20" s="5" t="s">
        <v>11</v>
      </c>
    </row>
    <row r="21" spans="4:18" ht="18" thickTop="1" x14ac:dyDescent="0.45"/>
    <row r="22" spans="4:18" x14ac:dyDescent="0.45">
      <c r="D22" s="2" t="s">
        <v>19</v>
      </c>
      <c r="E22" s="1" t="s">
        <v>20</v>
      </c>
    </row>
    <row r="23" spans="4:18" ht="18" thickBot="1" x14ac:dyDescent="0.5">
      <c r="E23" s="3" t="s">
        <v>2</v>
      </c>
      <c r="F23" s="4" t="str" cm="1">
        <f t="array" aca="1" ref="F23" ca="1">INDIRECT("C2")</f>
        <v>Excel関数_初級編</v>
      </c>
      <c r="Q23" s="7" t="s">
        <v>5</v>
      </c>
      <c r="R23" s="5" t="s">
        <v>45</v>
      </c>
    </row>
    <row r="24" spans="4:18" ht="18" thickTop="1" x14ac:dyDescent="0.45"/>
    <row r="25" spans="4:18" x14ac:dyDescent="0.45">
      <c r="D25" s="2" t="s">
        <v>21</v>
      </c>
      <c r="E25" s="1" t="s">
        <v>37</v>
      </c>
    </row>
    <row r="26" spans="4:18" x14ac:dyDescent="0.45">
      <c r="D26" s="2"/>
      <c r="E26" s="1" t="s">
        <v>22</v>
      </c>
    </row>
    <row r="27" spans="4:18" ht="18" thickBot="1" x14ac:dyDescent="0.5">
      <c r="E27" s="3" t="s">
        <v>2</v>
      </c>
      <c r="F27" s="4">
        <f>LEN(E26)</f>
        <v>8</v>
      </c>
      <c r="Q27" s="7" t="s">
        <v>5</v>
      </c>
      <c r="R27" s="5">
        <v>8</v>
      </c>
    </row>
    <row r="28" spans="4:18" ht="18" thickTop="1" x14ac:dyDescent="0.45"/>
    <row r="29" spans="4:18" x14ac:dyDescent="0.45">
      <c r="D29" s="2" t="s">
        <v>23</v>
      </c>
      <c r="E29" s="1" t="s">
        <v>39</v>
      </c>
    </row>
    <row r="30" spans="4:18" x14ac:dyDescent="0.45">
      <c r="D30" s="2"/>
      <c r="E30" s="1" t="s">
        <v>38</v>
      </c>
    </row>
    <row r="31" spans="4:18" ht="18" thickBot="1" x14ac:dyDescent="0.5">
      <c r="E31" s="3" t="s">
        <v>2</v>
      </c>
      <c r="F31" s="4">
        <f>LENB(E30)</f>
        <v>16</v>
      </c>
      <c r="Q31" s="7" t="s">
        <v>5</v>
      </c>
      <c r="R31" s="5">
        <v>16</v>
      </c>
    </row>
    <row r="32" spans="4:18" ht="18" thickTop="1" x14ac:dyDescent="0.45"/>
    <row r="33" spans="4:18" x14ac:dyDescent="0.45">
      <c r="D33" s="2" t="s">
        <v>25</v>
      </c>
      <c r="E33" s="1" t="s">
        <v>26</v>
      </c>
    </row>
    <row r="34" spans="4:18" x14ac:dyDescent="0.45">
      <c r="D34" s="2"/>
      <c r="E34" s="1" t="s">
        <v>22</v>
      </c>
    </row>
    <row r="35" spans="4:18" ht="18" thickBot="1" x14ac:dyDescent="0.5">
      <c r="E35" s="3" t="s">
        <v>2</v>
      </c>
      <c r="F35" s="4">
        <f>FIND(",",E34)</f>
        <v>5</v>
      </c>
      <c r="Q35" s="7" t="s">
        <v>5</v>
      </c>
      <c r="R35" s="5">
        <v>5</v>
      </c>
    </row>
    <row r="36" spans="4:18" ht="18" thickTop="1" x14ac:dyDescent="0.45"/>
    <row r="37" spans="4:18" x14ac:dyDescent="0.45">
      <c r="D37" s="2" t="s">
        <v>30</v>
      </c>
      <c r="E37" s="1" t="s">
        <v>27</v>
      </c>
    </row>
    <row r="38" spans="4:18" x14ac:dyDescent="0.45">
      <c r="D38" s="2"/>
      <c r="E38" s="1" t="s">
        <v>22</v>
      </c>
    </row>
    <row r="39" spans="4:18" ht="18" thickBot="1" x14ac:dyDescent="0.5">
      <c r="E39" s="3" t="s">
        <v>2</v>
      </c>
      <c r="F39" s="4" t="str">
        <f>SUBSTITUTE(E38,",","_")</f>
        <v>aaaa_bbb</v>
      </c>
      <c r="Q39" s="7" t="s">
        <v>5</v>
      </c>
      <c r="R39" s="5" t="s">
        <v>24</v>
      </c>
    </row>
    <row r="40" spans="4:18" ht="18" thickTop="1" x14ac:dyDescent="0.45"/>
    <row r="41" spans="4:18" x14ac:dyDescent="0.45">
      <c r="D41" s="2" t="s">
        <v>33</v>
      </c>
      <c r="E41" s="1" t="s">
        <v>28</v>
      </c>
    </row>
    <row r="42" spans="4:18" x14ac:dyDescent="0.45">
      <c r="D42" s="2"/>
      <c r="E42" s="1" t="s">
        <v>22</v>
      </c>
    </row>
    <row r="43" spans="4:18" ht="18" thickBot="1" x14ac:dyDescent="0.5">
      <c r="E43" s="3" t="s">
        <v>2</v>
      </c>
      <c r="F43" s="4" t="str">
        <f>LEFT(E42,4)</f>
        <v>aaaa</v>
      </c>
      <c r="Q43" s="7" t="s">
        <v>5</v>
      </c>
      <c r="R43" s="5" t="s">
        <v>29</v>
      </c>
    </row>
    <row r="44" spans="4:18" ht="18" thickTop="1" x14ac:dyDescent="0.45"/>
    <row r="45" spans="4:18" x14ac:dyDescent="0.45">
      <c r="D45" s="2" t="s">
        <v>35</v>
      </c>
      <c r="E45" s="1" t="s">
        <v>31</v>
      </c>
    </row>
    <row r="46" spans="4:18" x14ac:dyDescent="0.45">
      <c r="D46" s="2"/>
      <c r="E46" s="1" t="s">
        <v>22</v>
      </c>
    </row>
    <row r="47" spans="4:18" ht="18" thickBot="1" x14ac:dyDescent="0.5">
      <c r="E47" s="3" t="s">
        <v>2</v>
      </c>
      <c r="F47" s="4" t="str">
        <f>RIGHT(E46,3)</f>
        <v>bbb</v>
      </c>
      <c r="Q47" s="7" t="s">
        <v>5</v>
      </c>
      <c r="R47" s="5" t="s">
        <v>32</v>
      </c>
    </row>
    <row r="48" spans="4:18" ht="18" thickTop="1" x14ac:dyDescent="0.45"/>
    <row r="49" spans="4:18" x14ac:dyDescent="0.45">
      <c r="D49" s="2" t="s">
        <v>40</v>
      </c>
      <c r="E49" s="1" t="s">
        <v>42</v>
      </c>
    </row>
    <row r="50" spans="4:18" x14ac:dyDescent="0.45">
      <c r="D50" s="2"/>
      <c r="E50" s="1" t="s">
        <v>22</v>
      </c>
    </row>
    <row r="51" spans="4:18" ht="18" thickBot="1" x14ac:dyDescent="0.5">
      <c r="E51" s="3" t="s">
        <v>2</v>
      </c>
      <c r="F51" s="4" t="str">
        <f>MID(E50,5,1)</f>
        <v>,</v>
      </c>
      <c r="Q51" s="7" t="s">
        <v>5</v>
      </c>
      <c r="R51" s="5" t="s">
        <v>43</v>
      </c>
    </row>
    <row r="52" spans="4:18" ht="18" thickTop="1" x14ac:dyDescent="0.45"/>
    <row r="53" spans="4:18" x14ac:dyDescent="0.45">
      <c r="D53" s="2" t="s">
        <v>41</v>
      </c>
      <c r="E53" s="1" t="s">
        <v>34</v>
      </c>
    </row>
    <row r="54" spans="4:18" x14ac:dyDescent="0.45">
      <c r="D54" s="2"/>
      <c r="E54" s="1" t="s">
        <v>22</v>
      </c>
    </row>
    <row r="55" spans="4:18" ht="18" thickBot="1" x14ac:dyDescent="0.5">
      <c r="E55" s="3" t="s">
        <v>2</v>
      </c>
      <c r="F55" s="4" t="str">
        <f>LEFT(E54,FIND(",",E54)-1)</f>
        <v>aaaa</v>
      </c>
      <c r="Q55" s="7" t="s">
        <v>5</v>
      </c>
      <c r="R55" s="5" t="s">
        <v>29</v>
      </c>
    </row>
    <row r="56" spans="4:18" ht="18" thickTop="1" x14ac:dyDescent="0.45"/>
    <row r="57" spans="4:18" x14ac:dyDescent="0.45">
      <c r="D57" s="2" t="s">
        <v>44</v>
      </c>
      <c r="E57" s="1" t="s">
        <v>36</v>
      </c>
    </row>
    <row r="58" spans="4:18" x14ac:dyDescent="0.45">
      <c r="D58" s="2"/>
      <c r="E58" s="1" t="s">
        <v>22</v>
      </c>
    </row>
    <row r="59" spans="4:18" ht="18" thickBot="1" x14ac:dyDescent="0.5">
      <c r="E59" s="3" t="s">
        <v>2</v>
      </c>
      <c r="F59" s="4" t="str">
        <f>RIGHT(E58,FIND(",",E58)-2)</f>
        <v>bbb</v>
      </c>
      <c r="Q59" s="7" t="s">
        <v>5</v>
      </c>
      <c r="R59" s="5" t="s">
        <v>32</v>
      </c>
    </row>
    <row r="60" spans="4:18" ht="18" thickTop="1" x14ac:dyDescent="0.45"/>
    <row r="61" spans="4:18" x14ac:dyDescent="0.45">
      <c r="D61" s="2" t="s">
        <v>46</v>
      </c>
      <c r="E61" s="1" t="s">
        <v>47</v>
      </c>
    </row>
    <row r="62" spans="4:18" x14ac:dyDescent="0.45">
      <c r="D62" s="2"/>
      <c r="E62" s="1" t="s">
        <v>29</v>
      </c>
    </row>
    <row r="63" spans="4:18" x14ac:dyDescent="0.45">
      <c r="D63" s="2"/>
      <c r="E63" s="1" t="s">
        <v>32</v>
      </c>
    </row>
    <row r="64" spans="4:18" ht="18" thickBot="1" x14ac:dyDescent="0.5">
      <c r="E64" s="3" t="s">
        <v>2</v>
      </c>
      <c r="F64" s="4" t="str">
        <f>_xlfn.CONCAT(E62,E63)</f>
        <v>aaaabbb</v>
      </c>
      <c r="Q64" s="7" t="s">
        <v>5</v>
      </c>
      <c r="R64" s="5" t="s">
        <v>48</v>
      </c>
    </row>
    <row r="65" spans="4:18" ht="18" thickTop="1" x14ac:dyDescent="0.45"/>
    <row r="66" spans="4:18" x14ac:dyDescent="0.45">
      <c r="D66" s="2" t="s">
        <v>49</v>
      </c>
      <c r="E66" s="1" t="s">
        <v>50</v>
      </c>
    </row>
    <row r="67" spans="4:18" x14ac:dyDescent="0.45">
      <c r="D67" s="2"/>
      <c r="E67" s="1" t="s">
        <v>29</v>
      </c>
    </row>
    <row r="68" spans="4:18" x14ac:dyDescent="0.45">
      <c r="D68" s="2"/>
      <c r="E68" s="1" t="s">
        <v>32</v>
      </c>
    </row>
    <row r="69" spans="4:18" ht="18" thickBot="1" x14ac:dyDescent="0.5">
      <c r="E69" s="3" t="s">
        <v>2</v>
      </c>
      <c r="F69" s="4" t="str">
        <f>_xlfn.CONCAT(E67,",",E68)</f>
        <v>aaaa,bbb</v>
      </c>
      <c r="Q69" s="7" t="s">
        <v>5</v>
      </c>
      <c r="R69" s="5" t="s">
        <v>22</v>
      </c>
    </row>
    <row r="70" spans="4:18" ht="18" thickTop="1" x14ac:dyDescent="0.45"/>
    <row r="71" spans="4:18" x14ac:dyDescent="0.45">
      <c r="D71" s="2" t="s">
        <v>51</v>
      </c>
      <c r="E71" s="1" t="s">
        <v>52</v>
      </c>
    </row>
    <row r="72" spans="4:18" x14ac:dyDescent="0.45">
      <c r="D72" s="2"/>
      <c r="E72" s="1">
        <v>1</v>
      </c>
    </row>
    <row r="73" spans="4:18" ht="18" thickBot="1" x14ac:dyDescent="0.5">
      <c r="E73" s="3" t="s">
        <v>2</v>
      </c>
      <c r="F73" s="4" t="str">
        <f>REPT("0",4)&amp;1</f>
        <v>00001</v>
      </c>
      <c r="Q73" s="7" t="s">
        <v>5</v>
      </c>
      <c r="R73" s="8" t="s">
        <v>53</v>
      </c>
    </row>
    <row r="74" spans="4:18" ht="18" thickTop="1" x14ac:dyDescent="0.45"/>
    <row r="75" spans="4:18" x14ac:dyDescent="0.45">
      <c r="D75" s="2" t="s">
        <v>54</v>
      </c>
      <c r="E75" s="1" t="s">
        <v>57</v>
      </c>
    </row>
    <row r="76" spans="4:18" x14ac:dyDescent="0.45">
      <c r="D76" s="2"/>
      <c r="E76" s="2" t="s">
        <v>56</v>
      </c>
    </row>
    <row r="77" spans="4:18" ht="18" thickBot="1" x14ac:dyDescent="0.5">
      <c r="E77" s="3" t="s">
        <v>2</v>
      </c>
      <c r="F77" s="4">
        <f>YEAR(E76)</f>
        <v>2024</v>
      </c>
      <c r="Q77" s="7" t="s">
        <v>5</v>
      </c>
      <c r="R77" s="5">
        <v>2024</v>
      </c>
    </row>
    <row r="78" spans="4:18" ht="18" thickTop="1" x14ac:dyDescent="0.45"/>
    <row r="79" spans="4:18" x14ac:dyDescent="0.45">
      <c r="D79" s="2" t="s">
        <v>58</v>
      </c>
      <c r="E79" s="1" t="s">
        <v>59</v>
      </c>
    </row>
    <row r="80" spans="4:18" x14ac:dyDescent="0.45">
      <c r="D80" s="2"/>
      <c r="E80" s="9" t="s">
        <v>56</v>
      </c>
    </row>
    <row r="81" spans="4:18" ht="18" thickBot="1" x14ac:dyDescent="0.5">
      <c r="E81" s="3" t="s">
        <v>2</v>
      </c>
      <c r="F81" s="4">
        <f>MONTH(E80)</f>
        <v>10</v>
      </c>
      <c r="Q81" s="7" t="s">
        <v>5</v>
      </c>
      <c r="R81" s="5">
        <v>10</v>
      </c>
    </row>
    <row r="82" spans="4:18" ht="18" thickTop="1" x14ac:dyDescent="0.45"/>
    <row r="83" spans="4:18" x14ac:dyDescent="0.45">
      <c r="D83" s="2" t="s">
        <v>60</v>
      </c>
      <c r="E83" s="1" t="s">
        <v>61</v>
      </c>
    </row>
    <row r="84" spans="4:18" x14ac:dyDescent="0.45">
      <c r="D84" s="2"/>
      <c r="E84" s="9" t="s">
        <v>56</v>
      </c>
    </row>
    <row r="85" spans="4:18" ht="18" thickBot="1" x14ac:dyDescent="0.5">
      <c r="E85" s="3" t="s">
        <v>2</v>
      </c>
      <c r="F85" s="4">
        <f>DAY(E84)</f>
        <v>17</v>
      </c>
      <c r="Q85" s="7" t="s">
        <v>5</v>
      </c>
      <c r="R85" s="5">
        <v>17</v>
      </c>
    </row>
    <row r="86" spans="4:18" ht="18" thickTop="1" x14ac:dyDescent="0.45"/>
    <row r="87" spans="4:18" x14ac:dyDescent="0.45">
      <c r="D87" s="2" t="s">
        <v>62</v>
      </c>
      <c r="E87" s="1" t="s">
        <v>55</v>
      </c>
    </row>
    <row r="88" spans="4:18" x14ac:dyDescent="0.45">
      <c r="D88" s="2"/>
      <c r="E88" s="9" t="s">
        <v>56</v>
      </c>
    </row>
    <row r="89" spans="4:18" ht="18" thickBot="1" x14ac:dyDescent="0.5">
      <c r="E89" s="3" t="s">
        <v>2</v>
      </c>
      <c r="F89" s="4" t="str">
        <f>TEXT(E88,"aaaa")</f>
        <v>木曜日</v>
      </c>
      <c r="Q89" s="7" t="s">
        <v>5</v>
      </c>
      <c r="R89" s="5" t="s">
        <v>63</v>
      </c>
    </row>
    <row r="90" spans="4:18" ht="18" thickTop="1" x14ac:dyDescent="0.45"/>
    <row r="91" spans="4:18" x14ac:dyDescent="0.45">
      <c r="D91" s="2" t="s">
        <v>64</v>
      </c>
      <c r="E91" s="1" t="s">
        <v>65</v>
      </c>
    </row>
    <row r="92" spans="4:18" x14ac:dyDescent="0.45">
      <c r="D92" s="2"/>
      <c r="E92" s="9" t="s">
        <v>56</v>
      </c>
    </row>
    <row r="93" spans="4:18" ht="18" thickBot="1" x14ac:dyDescent="0.5">
      <c r="E93" s="3" t="s">
        <v>2</v>
      </c>
      <c r="F93" s="10">
        <f>EOMONTH(E92,0)</f>
        <v>45596</v>
      </c>
      <c r="Q93" s="7" t="s">
        <v>5</v>
      </c>
      <c r="R93" s="9" t="s">
        <v>66</v>
      </c>
    </row>
    <row r="94" spans="4:18" ht="18" thickTop="1" x14ac:dyDescent="0.45"/>
    <row r="95" spans="4:18" x14ac:dyDescent="0.45">
      <c r="D95" s="2" t="s">
        <v>67</v>
      </c>
      <c r="E95" s="1" t="s">
        <v>68</v>
      </c>
    </row>
    <row r="96" spans="4:18" x14ac:dyDescent="0.45">
      <c r="D96" s="2"/>
      <c r="E96" s="9" t="s">
        <v>69</v>
      </c>
    </row>
    <row r="97" spans="5:18" ht="18" thickBot="1" x14ac:dyDescent="0.5">
      <c r="E97" s="3" t="s">
        <v>2</v>
      </c>
      <c r="F97" s="4" t="str">
        <f>TEXT(E96,"yyyy/mm/dd")</f>
        <v>2024/01/01</v>
      </c>
      <c r="Q97" s="7" t="s">
        <v>5</v>
      </c>
      <c r="R97" s="9" t="s">
        <v>70</v>
      </c>
    </row>
    <row r="98" spans="5:18" ht="18" thickTop="1" x14ac:dyDescent="0.4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課題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隈本 花</dc:creator>
  <cp:lastModifiedBy>陽 栗脇</cp:lastModifiedBy>
  <dcterms:created xsi:type="dcterms:W3CDTF">2024-10-17T01:26:07Z</dcterms:created>
  <dcterms:modified xsi:type="dcterms:W3CDTF">2024-10-18T04:37:49Z</dcterms:modified>
</cp:coreProperties>
</file>